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0" yWindow="0" windowWidth="28800" windowHeight="15940" tabRatio="500"/>
  </bookViews>
  <sheets>
    <sheet name="Sheet1" sheetId="8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4" i="8" l="1"/>
  <c r="I63" i="8"/>
  <c r="I61" i="8"/>
  <c r="I60" i="8"/>
  <c r="I59" i="8"/>
  <c r="I62" i="8"/>
  <c r="D58" i="8"/>
  <c r="E58" i="8"/>
  <c r="F58" i="8"/>
  <c r="D59" i="8"/>
  <c r="E59" i="8"/>
  <c r="F59" i="8"/>
  <c r="D60" i="8"/>
  <c r="E60" i="8"/>
  <c r="F60" i="8"/>
  <c r="D61" i="8"/>
  <c r="E61" i="8"/>
  <c r="F61" i="8"/>
  <c r="D62" i="8"/>
  <c r="E62" i="8"/>
  <c r="F62" i="8"/>
  <c r="D63" i="8"/>
  <c r="E63" i="8"/>
  <c r="F63" i="8"/>
  <c r="D64" i="8"/>
  <c r="E64" i="8"/>
  <c r="F64" i="8"/>
  <c r="D65" i="8"/>
  <c r="E65" i="8"/>
  <c r="F65" i="8"/>
  <c r="D66" i="8"/>
  <c r="E66" i="8"/>
  <c r="F66" i="8"/>
  <c r="D67" i="8"/>
  <c r="E67" i="8"/>
  <c r="F67" i="8"/>
  <c r="D68" i="8"/>
  <c r="E68" i="8"/>
  <c r="F68" i="8"/>
  <c r="D69" i="8"/>
  <c r="E69" i="8"/>
  <c r="F69" i="8"/>
  <c r="D54" i="8"/>
  <c r="D51" i="8"/>
  <c r="D52" i="8"/>
  <c r="D53" i="8"/>
  <c r="I56" i="8"/>
  <c r="E51" i="8"/>
  <c r="E52" i="8"/>
  <c r="E53" i="8"/>
  <c r="I52" i="8"/>
  <c r="I55" i="8"/>
  <c r="F51" i="8"/>
  <c r="F52" i="8"/>
  <c r="F53" i="8"/>
  <c r="I53" i="8"/>
  <c r="I54" i="8"/>
  <c r="I51" i="8"/>
  <c r="E54" i="8"/>
  <c r="F54" i="8"/>
  <c r="I42" i="8"/>
  <c r="I41" i="8"/>
  <c r="I43" i="8"/>
  <c r="I40" i="8"/>
  <c r="I47" i="8"/>
  <c r="I45" i="8"/>
  <c r="I46" i="8"/>
  <c r="I44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E49" i="8"/>
  <c r="F49" i="8"/>
  <c r="D40" i="8"/>
  <c r="D41" i="8"/>
  <c r="D42" i="8"/>
  <c r="D43" i="8"/>
  <c r="D44" i="8"/>
  <c r="D45" i="8"/>
  <c r="D46" i="8"/>
  <c r="D47" i="8"/>
  <c r="D48" i="8"/>
  <c r="D49" i="8"/>
  <c r="I37" i="8"/>
  <c r="I38" i="8"/>
  <c r="I36" i="8"/>
  <c r="I33" i="8"/>
  <c r="I35" i="8"/>
  <c r="I31" i="8"/>
  <c r="I34" i="8"/>
  <c r="I32" i="8"/>
  <c r="G31" i="8"/>
  <c r="D31" i="8"/>
  <c r="E31" i="8"/>
  <c r="F31" i="8"/>
  <c r="D32" i="8"/>
  <c r="E32" i="8"/>
  <c r="F32" i="8"/>
  <c r="G32" i="8"/>
  <c r="D33" i="8"/>
  <c r="E33" i="8"/>
  <c r="F33" i="8"/>
  <c r="G33" i="8"/>
  <c r="D34" i="8"/>
  <c r="E34" i="8"/>
  <c r="F34" i="8"/>
  <c r="G34" i="8"/>
  <c r="D35" i="8"/>
  <c r="E35" i="8"/>
  <c r="F35" i="8"/>
  <c r="G35" i="8"/>
  <c r="G24" i="8"/>
  <c r="G25" i="8"/>
  <c r="G26" i="8"/>
  <c r="G27" i="8"/>
  <c r="G28" i="8"/>
  <c r="G29" i="8"/>
  <c r="G23" i="8"/>
  <c r="D23" i="8"/>
  <c r="E23" i="8"/>
  <c r="F23" i="8"/>
  <c r="D24" i="8"/>
  <c r="E24" i="8"/>
  <c r="F24" i="8"/>
  <c r="D25" i="8"/>
  <c r="E25" i="8"/>
  <c r="F25" i="8"/>
  <c r="D26" i="8"/>
  <c r="E26" i="8"/>
  <c r="F26" i="8"/>
  <c r="D27" i="8"/>
  <c r="E27" i="8"/>
  <c r="F27" i="8"/>
  <c r="D28" i="8"/>
  <c r="E28" i="8"/>
  <c r="F28" i="8"/>
  <c r="D29" i="8"/>
  <c r="E29" i="8"/>
  <c r="F29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" i="8"/>
</calcChain>
</file>

<file path=xl/sharedStrings.xml><?xml version="1.0" encoding="utf-8"?>
<sst xmlns="http://schemas.openxmlformats.org/spreadsheetml/2006/main" count="213" uniqueCount="82">
  <si>
    <t>productID</t>
  </si>
  <si>
    <t>name</t>
  </si>
  <si>
    <t>code</t>
  </si>
  <si>
    <t>supplierID</t>
  </si>
  <si>
    <t>price</t>
  </si>
  <si>
    <t>priceWithVat</t>
  </si>
  <si>
    <t>status</t>
  </si>
  <si>
    <t>text</t>
  </si>
  <si>
    <t>type</t>
  </si>
  <si>
    <t>employeeID</t>
  </si>
  <si>
    <t>netTotal</t>
  </si>
  <si>
    <t>vatTotal</t>
  </si>
  <si>
    <t>vatrateID</t>
  </si>
  <si>
    <t>total</t>
  </si>
  <si>
    <t>deliveryDate</t>
  </si>
  <si>
    <t>deliveryTypeID</t>
  </si>
  <si>
    <t>lastModified</t>
  </si>
  <si>
    <t>lastModifierUsername</t>
  </si>
  <si>
    <t>added</t>
  </si>
  <si>
    <t>serviceID</t>
  </si>
  <si>
    <t>itemName</t>
  </si>
  <si>
    <t>amount</t>
  </si>
  <si>
    <t>discount</t>
  </si>
  <si>
    <t>finalNetPrice</t>
  </si>
  <si>
    <t>finalPriceWithVAT</t>
  </si>
  <si>
    <t>rowNetTotal</t>
  </si>
  <si>
    <t>rowVAT</t>
  </si>
  <si>
    <t>rowTotal</t>
  </si>
  <si>
    <t>returnReasonID</t>
  </si>
  <si>
    <t>campaignIDs</t>
  </si>
  <si>
    <t>containerID</t>
  </si>
  <si>
    <t>containerAmount</t>
  </si>
  <si>
    <t>originalPriceIsZero</t>
  </si>
  <si>
    <t>timestamp</t>
  </si>
  <si>
    <t>integer</t>
  </si>
  <si>
    <t>string</t>
  </si>
  <si>
    <t>decimal(10,2)</t>
  </si>
  <si>
    <t>decimal(10,4)</t>
  </si>
  <si>
    <t>Field</t>
  </si>
  <si>
    <t>salesDocumentID</t>
  </si>
  <si>
    <t>Source</t>
  </si>
  <si>
    <t>Generator</t>
  </si>
  <si>
    <t>View header</t>
  </si>
  <si>
    <t>Veiw item</t>
  </si>
  <si>
    <t>Module</t>
  </si>
  <si>
    <t>salesDocumentItem</t>
  </si>
  <si>
    <t>priceListItem</t>
  </si>
  <si>
    <t>priceListID</t>
  </si>
  <si>
    <t>ruleID</t>
  </si>
  <si>
    <t>deliveryType</t>
  </si>
  <si>
    <t>index view</t>
  </si>
  <si>
    <t>controller</t>
  </si>
  <si>
    <t>Sync</t>
  </si>
  <si>
    <t>sync</t>
  </si>
  <si>
    <t>upper class</t>
  </si>
  <si>
    <t>index header</t>
  </si>
  <si>
    <t>index item</t>
  </si>
  <si>
    <t>sync item</t>
  </si>
  <si>
    <t>sync ctr</t>
  </si>
  <si>
    <t>supplierSalesDocument</t>
  </si>
  <si>
    <t>supplierNotes</t>
  </si>
  <si>
    <t>decimal(10,0)</t>
  </si>
  <si>
    <t>property</t>
  </si>
  <si>
    <t>remarks</t>
  </si>
  <si>
    <t>generator</t>
  </si>
  <si>
    <t>tablename</t>
  </si>
  <si>
    <t>key</t>
  </si>
  <si>
    <t>value</t>
  </si>
  <si>
    <t>wxMessage</t>
  </si>
  <si>
    <t>ToUserName</t>
  </si>
  <si>
    <t>FromUserName</t>
  </si>
  <si>
    <t>CreateTime</t>
  </si>
  <si>
    <t>MsgType</t>
  </si>
  <si>
    <t>Content</t>
  </si>
  <si>
    <t>MsgId</t>
  </si>
  <si>
    <t>PicUrl</t>
  </si>
  <si>
    <t>MediaId</t>
  </si>
  <si>
    <t>ThumbMediaId</t>
  </si>
  <si>
    <t>Url</t>
  </si>
  <si>
    <t>Title</t>
  </si>
  <si>
    <t>Description</t>
  </si>
  <si>
    <t>wx_message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</si>
</sst>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4"/>
      <color theme="1"/>
      <name val="Arial"/>
      <family val="2"/>
    </font>
    <font>
      <u/>
      <sz val="14"/>
      <color theme="10"/>
      <name val="Arial"/>
      <family val="2"/>
    </font>
    <font>
      <u/>
      <sz val="14"/>
      <color theme="11"/>
      <name val="Arial"/>
      <family val="2"/>
    </font>
    <font>
      <sz val="14"/>
      <color rgb="FF000000"/>
      <name val="Arial"/>
      <family val="2"/>
    </font>
    <font>
      <sz val="14"/>
      <color rgb="FF333333"/>
      <name val="Tahom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Font="1" applyAlignment="1">
      <alignment wrapText="1"/>
    </xf>
    <xf numFmtId="0" fontId="3" fillId="0" borderId="0" xfId="0" applyFont="1"/>
    <xf numFmtId="0" fontId="4" fillId="0" borderId="0" xfId="0" applyFont="1"/>
  </cellXfs>
  <cellStyles count="16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69"/>
  <sheetViews>
    <sheetView tabSelected="1" workbookViewId="0">
      <pane ySplit="1" topLeftCell="A45" activePane="bottomLeft" state="frozen"/>
      <selection pane="bottomLeft" activeCell="I63" sqref="I63"/>
    </sheetView>
  </sheetViews>
  <sheetFormatPr baseColWidth="10" defaultRowHeight="17" x14ac:dyDescent="0"/>
  <cols>
    <col min="1" max="1" width="19.25" bestFit="1" customWidth="1"/>
    <col min="2" max="2" width="16.375" bestFit="1" customWidth="1"/>
    <col min="3" max="3" width="7" customWidth="1"/>
    <col min="4" max="4" width="9.125" customWidth="1"/>
    <col min="5" max="5" width="8.625" customWidth="1"/>
    <col min="6" max="6" width="12.25" customWidth="1"/>
    <col min="7" max="7" width="41.25" customWidth="1"/>
  </cols>
  <sheetData>
    <row r="1" spans="1:7">
      <c r="A1" t="s">
        <v>44</v>
      </c>
      <c r="B1" t="s">
        <v>38</v>
      </c>
      <c r="C1" t="s">
        <v>40</v>
      </c>
      <c r="D1" t="s">
        <v>41</v>
      </c>
      <c r="E1" t="s">
        <v>42</v>
      </c>
      <c r="F1" t="s">
        <v>43</v>
      </c>
      <c r="G1" t="s">
        <v>52</v>
      </c>
    </row>
    <row r="2" spans="1:7">
      <c r="A2" t="s">
        <v>45</v>
      </c>
      <c r="B2" s="1" t="s">
        <v>0</v>
      </c>
      <c r="C2" s="2" t="s">
        <v>34</v>
      </c>
      <c r="D2" t="str">
        <f>CONCATENATE(B2,":",C2,", ")</f>
        <v xml:space="preserve">productID:integer, </v>
      </c>
      <c r="E2" t="str">
        <f>CONCATENATE("&lt;th&gt; ",B2," &lt;/th&gt;")</f>
        <v>&lt;th&gt; productID &lt;/th&gt;</v>
      </c>
      <c r="F2" t="str">
        <f>CONCATENATE("&lt;td&gt; {{ $",A2,"-&gt;",B2," }} &lt;/td&gt;")</f>
        <v>&lt;td&gt; {{ $salesDocumentItem-&gt;productID }} &lt;/td&gt;</v>
      </c>
      <c r="G2" t="str">
        <f>CONCATENATE("$",A2,"-&gt;",B2,"= $item[$line]['",B2,"'];")</f>
        <v>$salesDocumentItem-&gt;productID= $item[$line]['productID'];</v>
      </c>
    </row>
    <row r="3" spans="1:7">
      <c r="A3" t="s">
        <v>45</v>
      </c>
      <c r="B3" s="1" t="s">
        <v>19</v>
      </c>
      <c r="C3" s="2" t="s">
        <v>34</v>
      </c>
      <c r="D3" t="str">
        <f t="shared" ref="D3:D21" si="0">CONCATENATE(B3,":",C3,", ")</f>
        <v xml:space="preserve">serviceID:integer, </v>
      </c>
      <c r="E3" t="str">
        <f t="shared" ref="E3:E21" si="1">CONCATENATE("&lt;th&gt; ",B3," &lt;/th&gt;")</f>
        <v>&lt;th&gt; serviceID &lt;/th&gt;</v>
      </c>
      <c r="F3" t="str">
        <f t="shared" ref="F3:F21" si="2">CONCATENATE("&lt;td&gt; {{ $",A3,"-&gt;",B3," }} &lt;/td&gt;")</f>
        <v>&lt;td&gt; {{ $salesDocumentItem-&gt;serviceID }} &lt;/td&gt;</v>
      </c>
      <c r="G3" t="str">
        <f t="shared" ref="G3:G21" si="3">CONCATENATE("$",A3,"-&gt;",B3,"= $item[$line]['",B3,"'];")</f>
        <v>$salesDocumentItem-&gt;serviceID= $item[$line]['serviceID'];</v>
      </c>
    </row>
    <row r="4" spans="1:7">
      <c r="A4" t="s">
        <v>45</v>
      </c>
      <c r="B4" s="1" t="s">
        <v>20</v>
      </c>
      <c r="C4" s="2" t="s">
        <v>35</v>
      </c>
      <c r="D4" t="str">
        <f t="shared" si="0"/>
        <v xml:space="preserve">itemName:string, </v>
      </c>
      <c r="E4" t="str">
        <f t="shared" si="1"/>
        <v>&lt;th&gt; itemName &lt;/th&gt;</v>
      </c>
      <c r="F4" t="str">
        <f t="shared" si="2"/>
        <v>&lt;td&gt; {{ $salesDocumentItem-&gt;itemName }} &lt;/td&gt;</v>
      </c>
      <c r="G4" t="str">
        <f t="shared" si="3"/>
        <v>$salesDocumentItem-&gt;itemName= $item[$line]['itemName'];</v>
      </c>
    </row>
    <row r="5" spans="1:7">
      <c r="A5" t="s">
        <v>45</v>
      </c>
      <c r="B5" s="1" t="s">
        <v>2</v>
      </c>
      <c r="C5" s="2" t="s">
        <v>35</v>
      </c>
      <c r="D5" t="str">
        <f t="shared" si="0"/>
        <v xml:space="preserve">code:string, </v>
      </c>
      <c r="E5" t="str">
        <f t="shared" si="1"/>
        <v>&lt;th&gt; code &lt;/th&gt;</v>
      </c>
      <c r="F5" t="str">
        <f t="shared" si="2"/>
        <v>&lt;td&gt; {{ $salesDocumentItem-&gt;code }} &lt;/td&gt;</v>
      </c>
      <c r="G5" t="str">
        <f t="shared" si="3"/>
        <v>$salesDocumentItem-&gt;code= $item[$line]['code'];</v>
      </c>
    </row>
    <row r="6" spans="1:7">
      <c r="A6" t="s">
        <v>45</v>
      </c>
      <c r="B6" s="1" t="s">
        <v>12</v>
      </c>
      <c r="C6" s="2" t="s">
        <v>34</v>
      </c>
      <c r="D6" t="str">
        <f t="shared" si="0"/>
        <v xml:space="preserve">vatrateID:integer, </v>
      </c>
      <c r="E6" t="str">
        <f t="shared" si="1"/>
        <v>&lt;th&gt; vatrateID &lt;/th&gt;</v>
      </c>
      <c r="F6" t="str">
        <f t="shared" si="2"/>
        <v>&lt;td&gt; {{ $salesDocumentItem-&gt;vatrateID }} &lt;/td&gt;</v>
      </c>
      <c r="G6" t="str">
        <f t="shared" si="3"/>
        <v>$salesDocumentItem-&gt;vatrateID= $item[$line]['vatrateID'];</v>
      </c>
    </row>
    <row r="7" spans="1:7">
      <c r="A7" t="s">
        <v>45</v>
      </c>
      <c r="B7" s="1" t="s">
        <v>21</v>
      </c>
      <c r="C7" s="2" t="s">
        <v>36</v>
      </c>
      <c r="D7" t="str">
        <f t="shared" si="0"/>
        <v xml:space="preserve">amount:decimal(10,2), </v>
      </c>
      <c r="E7" t="str">
        <f t="shared" si="1"/>
        <v>&lt;th&gt; amount &lt;/th&gt;</v>
      </c>
      <c r="F7" t="str">
        <f t="shared" si="2"/>
        <v>&lt;td&gt; {{ $salesDocumentItem-&gt;amount }} &lt;/td&gt;</v>
      </c>
      <c r="G7" t="str">
        <f t="shared" si="3"/>
        <v>$salesDocumentItem-&gt;amount= $item[$line]['amount'];</v>
      </c>
    </row>
    <row r="8" spans="1:7">
      <c r="A8" t="s">
        <v>45</v>
      </c>
      <c r="B8" s="1" t="s">
        <v>4</v>
      </c>
      <c r="C8" s="2" t="s">
        <v>36</v>
      </c>
      <c r="D8" t="str">
        <f t="shared" si="0"/>
        <v xml:space="preserve">price:decimal(10,2), </v>
      </c>
      <c r="E8" t="str">
        <f t="shared" si="1"/>
        <v>&lt;th&gt; price &lt;/th&gt;</v>
      </c>
      <c r="F8" t="str">
        <f t="shared" si="2"/>
        <v>&lt;td&gt; {{ $salesDocumentItem-&gt;price }} &lt;/td&gt;</v>
      </c>
      <c r="G8" t="str">
        <f t="shared" si="3"/>
        <v>$salesDocumentItem-&gt;price= $item[$line]['price'];</v>
      </c>
    </row>
    <row r="9" spans="1:7">
      <c r="A9" t="s">
        <v>45</v>
      </c>
      <c r="B9" s="1" t="s">
        <v>22</v>
      </c>
      <c r="C9" s="2" t="s">
        <v>36</v>
      </c>
      <c r="D9" t="str">
        <f t="shared" si="0"/>
        <v xml:space="preserve">discount:decimal(10,2), </v>
      </c>
      <c r="E9" t="str">
        <f t="shared" si="1"/>
        <v>&lt;th&gt; discount &lt;/th&gt;</v>
      </c>
      <c r="F9" t="str">
        <f t="shared" si="2"/>
        <v>&lt;td&gt; {{ $salesDocumentItem-&gt;discount }} &lt;/td&gt;</v>
      </c>
      <c r="G9" t="str">
        <f t="shared" si="3"/>
        <v>$salesDocumentItem-&gt;discount= $item[$line]['discount'];</v>
      </c>
    </row>
    <row r="10" spans="1:7">
      <c r="A10" t="s">
        <v>45</v>
      </c>
      <c r="B10" s="1" t="s">
        <v>23</v>
      </c>
      <c r="C10" s="2" t="s">
        <v>36</v>
      </c>
      <c r="D10" t="str">
        <f t="shared" si="0"/>
        <v xml:space="preserve">finalNetPrice:decimal(10,2), </v>
      </c>
      <c r="E10" t="str">
        <f t="shared" si="1"/>
        <v>&lt;th&gt; finalNetPrice &lt;/th&gt;</v>
      </c>
      <c r="F10" t="str">
        <f t="shared" si="2"/>
        <v>&lt;td&gt; {{ $salesDocumentItem-&gt;finalNetPrice }} &lt;/td&gt;</v>
      </c>
      <c r="G10" t="str">
        <f t="shared" si="3"/>
        <v>$salesDocumentItem-&gt;finalNetPrice= $item[$line]['finalNetPrice'];</v>
      </c>
    </row>
    <row r="11" spans="1:7">
      <c r="A11" t="s">
        <v>45</v>
      </c>
      <c r="B11" s="1" t="s">
        <v>24</v>
      </c>
      <c r="C11" s="2" t="s">
        <v>36</v>
      </c>
      <c r="D11" t="str">
        <f t="shared" si="0"/>
        <v xml:space="preserve">finalPriceWithVAT:decimal(10,2), </v>
      </c>
      <c r="E11" t="str">
        <f t="shared" si="1"/>
        <v>&lt;th&gt; finalPriceWithVAT &lt;/th&gt;</v>
      </c>
      <c r="F11" t="str">
        <f t="shared" si="2"/>
        <v>&lt;td&gt; {{ $salesDocumentItem-&gt;finalPriceWithVAT }} &lt;/td&gt;</v>
      </c>
      <c r="G11" t="str">
        <f t="shared" si="3"/>
        <v>$salesDocumentItem-&gt;finalPriceWithVAT= $item[$line]['finalPriceWithVAT'];</v>
      </c>
    </row>
    <row r="12" spans="1:7">
      <c r="A12" t="s">
        <v>45</v>
      </c>
      <c r="B12" s="1" t="s">
        <v>25</v>
      </c>
      <c r="C12" s="2" t="s">
        <v>36</v>
      </c>
      <c r="D12" t="str">
        <f t="shared" si="0"/>
        <v xml:space="preserve">rowNetTotal:decimal(10,2), </v>
      </c>
      <c r="E12" t="str">
        <f t="shared" si="1"/>
        <v>&lt;th&gt; rowNetTotal &lt;/th&gt;</v>
      </c>
      <c r="F12" t="str">
        <f t="shared" si="2"/>
        <v>&lt;td&gt; {{ $salesDocumentItem-&gt;rowNetTotal }} &lt;/td&gt;</v>
      </c>
      <c r="G12" t="str">
        <f t="shared" si="3"/>
        <v>$salesDocumentItem-&gt;rowNetTotal= $item[$line]['rowNetTotal'];</v>
      </c>
    </row>
    <row r="13" spans="1:7">
      <c r="A13" t="s">
        <v>45</v>
      </c>
      <c r="B13" s="1" t="s">
        <v>26</v>
      </c>
      <c r="C13" s="2" t="s">
        <v>36</v>
      </c>
      <c r="D13" t="str">
        <f t="shared" si="0"/>
        <v xml:space="preserve">rowVAT:decimal(10,2), </v>
      </c>
      <c r="E13" t="str">
        <f t="shared" si="1"/>
        <v>&lt;th&gt; rowVAT &lt;/th&gt;</v>
      </c>
      <c r="F13" t="str">
        <f t="shared" si="2"/>
        <v>&lt;td&gt; {{ $salesDocumentItem-&gt;rowVAT }} &lt;/td&gt;</v>
      </c>
      <c r="G13" t="str">
        <f t="shared" si="3"/>
        <v>$salesDocumentItem-&gt;rowVAT= $item[$line]['rowVAT'];</v>
      </c>
    </row>
    <row r="14" spans="1:7">
      <c r="A14" t="s">
        <v>45</v>
      </c>
      <c r="B14" s="1" t="s">
        <v>27</v>
      </c>
      <c r="C14" s="2" t="s">
        <v>36</v>
      </c>
      <c r="D14" t="str">
        <f t="shared" si="0"/>
        <v xml:space="preserve">rowTotal:decimal(10,2), </v>
      </c>
      <c r="E14" t="str">
        <f t="shared" si="1"/>
        <v>&lt;th&gt; rowTotal &lt;/th&gt;</v>
      </c>
      <c r="F14" t="str">
        <f t="shared" si="2"/>
        <v>&lt;td&gt; {{ $salesDocumentItem-&gt;rowTotal }} &lt;/td&gt;</v>
      </c>
      <c r="G14" t="str">
        <f t="shared" si="3"/>
        <v>$salesDocumentItem-&gt;rowTotal= $item[$line]['rowTotal'];</v>
      </c>
    </row>
    <row r="15" spans="1:7">
      <c r="A15" t="s">
        <v>45</v>
      </c>
      <c r="B15" s="1" t="s">
        <v>14</v>
      </c>
      <c r="C15" s="2" t="s">
        <v>33</v>
      </c>
      <c r="D15" t="str">
        <f t="shared" si="0"/>
        <v xml:space="preserve">deliveryDate:timestamp, </v>
      </c>
      <c r="E15" t="str">
        <f t="shared" si="1"/>
        <v>&lt;th&gt; deliveryDate &lt;/th&gt;</v>
      </c>
      <c r="F15" t="str">
        <f t="shared" si="2"/>
        <v>&lt;td&gt; {{ $salesDocumentItem-&gt;deliveryDate }} &lt;/td&gt;</v>
      </c>
      <c r="G15" t="str">
        <f t="shared" si="3"/>
        <v>$salesDocumentItem-&gt;deliveryDate= $item[$line]['deliveryDate'];</v>
      </c>
    </row>
    <row r="16" spans="1:7">
      <c r="A16" t="s">
        <v>45</v>
      </c>
      <c r="B16" s="1" t="s">
        <v>28</v>
      </c>
      <c r="C16" s="2" t="s">
        <v>34</v>
      </c>
      <c r="D16" t="str">
        <f t="shared" si="0"/>
        <v xml:space="preserve">returnReasonID:integer, </v>
      </c>
      <c r="E16" t="str">
        <f t="shared" si="1"/>
        <v>&lt;th&gt; returnReasonID &lt;/th&gt;</v>
      </c>
      <c r="F16" t="str">
        <f t="shared" si="2"/>
        <v>&lt;td&gt; {{ $salesDocumentItem-&gt;returnReasonID }} &lt;/td&gt;</v>
      </c>
      <c r="G16" t="str">
        <f t="shared" si="3"/>
        <v>$salesDocumentItem-&gt;returnReasonID= $item[$line]['returnReasonID'];</v>
      </c>
    </row>
    <row r="17" spans="1:9">
      <c r="A17" t="s">
        <v>45</v>
      </c>
      <c r="B17" s="1" t="s">
        <v>9</v>
      </c>
      <c r="C17" s="2" t="s">
        <v>34</v>
      </c>
      <c r="D17" t="str">
        <f t="shared" si="0"/>
        <v xml:space="preserve">employeeID:integer, </v>
      </c>
      <c r="E17" t="str">
        <f t="shared" si="1"/>
        <v>&lt;th&gt; employeeID &lt;/th&gt;</v>
      </c>
      <c r="F17" t="str">
        <f t="shared" si="2"/>
        <v>&lt;td&gt; {{ $salesDocumentItem-&gt;employeeID }} &lt;/td&gt;</v>
      </c>
      <c r="G17" t="str">
        <f t="shared" si="3"/>
        <v>$salesDocumentItem-&gt;employeeID= $item[$line]['employeeID'];</v>
      </c>
    </row>
    <row r="18" spans="1:9">
      <c r="A18" t="s">
        <v>45</v>
      </c>
      <c r="B18" s="1" t="s">
        <v>29</v>
      </c>
      <c r="C18" s="2" t="s">
        <v>35</v>
      </c>
      <c r="D18" t="str">
        <f t="shared" si="0"/>
        <v xml:space="preserve">campaignIDs:string, </v>
      </c>
      <c r="E18" t="str">
        <f t="shared" si="1"/>
        <v>&lt;th&gt; campaignIDs &lt;/th&gt;</v>
      </c>
      <c r="F18" t="str">
        <f t="shared" si="2"/>
        <v>&lt;td&gt; {{ $salesDocumentItem-&gt;campaignIDs }} &lt;/td&gt;</v>
      </c>
      <c r="G18" t="str">
        <f t="shared" si="3"/>
        <v>$salesDocumentItem-&gt;campaignIDs= $item[$line]['campaignIDs'];</v>
      </c>
    </row>
    <row r="19" spans="1:9">
      <c r="A19" t="s">
        <v>45</v>
      </c>
      <c r="B19" s="1" t="s">
        <v>30</v>
      </c>
      <c r="C19" s="2" t="s">
        <v>34</v>
      </c>
      <c r="D19" t="str">
        <f t="shared" si="0"/>
        <v xml:space="preserve">containerID:integer, </v>
      </c>
      <c r="E19" t="str">
        <f t="shared" si="1"/>
        <v>&lt;th&gt; containerID &lt;/th&gt;</v>
      </c>
      <c r="F19" t="str">
        <f t="shared" si="2"/>
        <v>&lt;td&gt; {{ $salesDocumentItem-&gt;containerID }} &lt;/td&gt;</v>
      </c>
      <c r="G19" t="str">
        <f t="shared" si="3"/>
        <v>$salesDocumentItem-&gt;containerID= $item[$line]['containerID'];</v>
      </c>
    </row>
    <row r="20" spans="1:9">
      <c r="A20" t="s">
        <v>45</v>
      </c>
      <c r="B20" s="1" t="s">
        <v>31</v>
      </c>
      <c r="C20" s="2" t="s">
        <v>34</v>
      </c>
      <c r="D20" t="str">
        <f t="shared" si="0"/>
        <v xml:space="preserve">containerAmount:integer, </v>
      </c>
      <c r="E20" t="str">
        <f t="shared" si="1"/>
        <v>&lt;th&gt; containerAmount &lt;/th&gt;</v>
      </c>
      <c r="F20" t="str">
        <f t="shared" si="2"/>
        <v>&lt;td&gt; {{ $salesDocumentItem-&gt;containerAmount }} &lt;/td&gt;</v>
      </c>
      <c r="G20" t="str">
        <f t="shared" si="3"/>
        <v>$salesDocumentItem-&gt;containerAmount= $item[$line]['containerAmount'];</v>
      </c>
    </row>
    <row r="21" spans="1:9">
      <c r="A21" t="s">
        <v>45</v>
      </c>
      <c r="B21" s="1" t="s">
        <v>32</v>
      </c>
      <c r="C21" s="2" t="s">
        <v>34</v>
      </c>
      <c r="D21" t="str">
        <f t="shared" si="0"/>
        <v xml:space="preserve">originalPriceIsZero:integer, </v>
      </c>
      <c r="E21" t="str">
        <f t="shared" si="1"/>
        <v>&lt;th&gt; originalPriceIsZero &lt;/th&gt;</v>
      </c>
      <c r="F21" t="str">
        <f t="shared" si="2"/>
        <v>&lt;td&gt; {{ $salesDocumentItem-&gt;originalPriceIsZero }} &lt;/td&gt;</v>
      </c>
      <c r="G21" t="str">
        <f t="shared" si="3"/>
        <v>$salesDocumentItem-&gt;originalPriceIsZero= $item[$line]['originalPriceIsZero'];</v>
      </c>
    </row>
    <row r="23" spans="1:9">
      <c r="A23" t="s">
        <v>46</v>
      </c>
      <c r="B23" s="1" t="s">
        <v>47</v>
      </c>
      <c r="C23" s="2" t="s">
        <v>34</v>
      </c>
      <c r="D23" t="str">
        <f t="shared" ref="D23:D29" si="4">CONCATENATE(B23,":",C23,", ")</f>
        <v xml:space="preserve">priceListID:integer, </v>
      </c>
      <c r="E23" t="str">
        <f t="shared" ref="E23:E29" si="5">CONCATENATE("&lt;th&gt; ",B23," &lt;/th&gt;")</f>
        <v>&lt;th&gt; priceListID &lt;/th&gt;</v>
      </c>
      <c r="F23" t="str">
        <f t="shared" ref="F23:F29" si="6">CONCATENATE("&lt;td&gt; {{ $",A23,"-&gt;",B23," }} &lt;/td&gt;")</f>
        <v>&lt;td&gt; {{ $priceListItem-&gt;priceListID }} &lt;/td&gt;</v>
      </c>
      <c r="G23" t="str">
        <f>CONCATENATE("$",A23,"-&gt;",B23,"= $erply",UPPER(LEFT(A23,1)),RIGHT(A23,LEN(A23)-1),"['",B23,"'];")</f>
        <v>$priceListItem-&gt;priceListID= $erplyPriceListItem['priceListID'];</v>
      </c>
    </row>
    <row r="24" spans="1:9">
      <c r="A24" t="s">
        <v>46</v>
      </c>
      <c r="B24" s="1" t="s">
        <v>8</v>
      </c>
      <c r="C24" s="2" t="s">
        <v>35</v>
      </c>
      <c r="D24" t="str">
        <f t="shared" si="4"/>
        <v xml:space="preserve">type:string, </v>
      </c>
      <c r="E24" t="str">
        <f t="shared" si="5"/>
        <v>&lt;th&gt; type &lt;/th&gt;</v>
      </c>
      <c r="F24" t="str">
        <f t="shared" si="6"/>
        <v>&lt;td&gt; {{ $priceListItem-&gt;type }} &lt;/td&gt;</v>
      </c>
      <c r="G24" t="str">
        <f t="shared" ref="G24:G29" si="7">CONCATENATE("$",A24,"-&gt;",B24,"= $erply",UPPER(LEFT(A24,1)),RIGHT(A24,LEN(A24)-1),"['",B24,"'];")</f>
        <v>$priceListItem-&gt;type= $erplyPriceListItem['type'];</v>
      </c>
    </row>
    <row r="25" spans="1:9">
      <c r="A25" t="s">
        <v>46</v>
      </c>
      <c r="B25" s="1" t="s">
        <v>4</v>
      </c>
      <c r="C25" s="2" t="s">
        <v>37</v>
      </c>
      <c r="D25" t="str">
        <f t="shared" si="4"/>
        <v xml:space="preserve">price:decimal(10,4), </v>
      </c>
      <c r="E25" t="str">
        <f t="shared" si="5"/>
        <v>&lt;th&gt; price &lt;/th&gt;</v>
      </c>
      <c r="F25" t="str">
        <f t="shared" si="6"/>
        <v>&lt;td&gt; {{ $priceListItem-&gt;price }} &lt;/td&gt;</v>
      </c>
      <c r="G25" t="str">
        <f t="shared" si="7"/>
        <v>$priceListItem-&gt;price= $erplyPriceListItem['price'];</v>
      </c>
    </row>
    <row r="26" spans="1:9">
      <c r="A26" t="s">
        <v>46</v>
      </c>
      <c r="B26" s="1" t="s">
        <v>5</v>
      </c>
      <c r="C26" s="2" t="s">
        <v>36</v>
      </c>
      <c r="D26" t="str">
        <f t="shared" si="4"/>
        <v xml:space="preserve">priceWithVat:decimal(10,2), </v>
      </c>
      <c r="E26" t="str">
        <f t="shared" si="5"/>
        <v>&lt;th&gt; priceWithVat &lt;/th&gt;</v>
      </c>
      <c r="F26" t="str">
        <f t="shared" si="6"/>
        <v>&lt;td&gt; {{ $priceListItem-&gt;priceWithVat }} &lt;/td&gt;</v>
      </c>
      <c r="G26" t="str">
        <f t="shared" si="7"/>
        <v>$priceListItem-&gt;priceWithVat= $erplyPriceListItem['priceWithVat'];</v>
      </c>
    </row>
    <row r="27" spans="1:9">
      <c r="A27" t="s">
        <v>46</v>
      </c>
      <c r="B27" s="1" t="s">
        <v>0</v>
      </c>
      <c r="C27" s="2" t="s">
        <v>34</v>
      </c>
      <c r="D27" t="str">
        <f t="shared" si="4"/>
        <v xml:space="preserve">productID:integer, </v>
      </c>
      <c r="E27" t="str">
        <f t="shared" si="5"/>
        <v>&lt;th&gt; productID &lt;/th&gt;</v>
      </c>
      <c r="F27" t="str">
        <f t="shared" si="6"/>
        <v>&lt;td&gt; {{ $priceListItem-&gt;productID }} &lt;/td&gt;</v>
      </c>
      <c r="G27" t="str">
        <f t="shared" si="7"/>
        <v>$priceListItem-&gt;productID= $erplyPriceListItem['productID'];</v>
      </c>
    </row>
    <row r="28" spans="1:9">
      <c r="A28" t="s">
        <v>46</v>
      </c>
      <c r="B28" s="1" t="s">
        <v>48</v>
      </c>
      <c r="C28" s="2" t="s">
        <v>34</v>
      </c>
      <c r="D28" t="str">
        <f t="shared" si="4"/>
        <v xml:space="preserve">ruleID:integer, </v>
      </c>
      <c r="E28" t="str">
        <f t="shared" si="5"/>
        <v>&lt;th&gt; ruleID &lt;/th&gt;</v>
      </c>
      <c r="F28" t="str">
        <f t="shared" si="6"/>
        <v>&lt;td&gt; {{ $priceListItem-&gt;ruleID }} &lt;/td&gt;</v>
      </c>
      <c r="G28" t="str">
        <f t="shared" si="7"/>
        <v>$priceListItem-&gt;ruleID= $erplyPriceListItem['ruleID'];</v>
      </c>
    </row>
    <row r="29" spans="1:9">
      <c r="A29" t="s">
        <v>46</v>
      </c>
      <c r="B29" s="1" t="s">
        <v>21</v>
      </c>
      <c r="C29" s="2" t="s">
        <v>36</v>
      </c>
      <c r="D29" t="str">
        <f t="shared" si="4"/>
        <v xml:space="preserve">amount:decimal(10,2), </v>
      </c>
      <c r="E29" t="str">
        <f t="shared" si="5"/>
        <v>&lt;th&gt; amount &lt;/th&gt;</v>
      </c>
      <c r="F29" t="str">
        <f t="shared" si="6"/>
        <v>&lt;td&gt; {{ $priceListItem-&gt;amount }} &lt;/td&gt;</v>
      </c>
      <c r="G29" t="str">
        <f t="shared" si="7"/>
        <v>$priceListItem-&gt;amount= $erplyPriceListItem['amount'];</v>
      </c>
    </row>
    <row r="31" spans="1:9">
      <c r="A31" t="s">
        <v>49</v>
      </c>
      <c r="B31" t="s">
        <v>15</v>
      </c>
      <c r="C31" t="s">
        <v>34</v>
      </c>
      <c r="D31" t="str">
        <f t="shared" ref="D31:D49" si="8">CONCATENATE(B31,":",C31,", ")</f>
        <v xml:space="preserve">deliveryTypeID:integer, </v>
      </c>
      <c r="E31" t="str">
        <f t="shared" ref="E31:E35" si="9">CONCATENATE("&lt;th&gt; ",B31," &lt;/th&gt;")</f>
        <v>&lt;th&gt; deliveryTypeID &lt;/th&gt;</v>
      </c>
      <c r="F31" t="str">
        <f t="shared" ref="F31:F35" si="10">CONCATENATE("&lt;td&gt; {{ $",A31,"-&gt;",B31," }} &lt;/td&gt;")</f>
        <v>&lt;td&gt; {{ $deliveryType-&gt;deliveryTypeID }} &lt;/td&gt;</v>
      </c>
      <c r="G31" t="str">
        <f>CONCATENATE("$",A31,"-&gt;",B31,"= $erply",UPPER(LEFT(A31,1)),RIGHT(A31,LEN(A31)-1),"['",B31,"'];")</f>
        <v>$deliveryType-&gt;deliveryTypeID= $erplyDeliveryType['deliveryTypeID'];</v>
      </c>
      <c r="H31" t="s">
        <v>54</v>
      </c>
      <c r="I31" t="str">
        <f>CONCATENATE(UPPER(LEFT(A31,1))&amp;RIGHT(A31,LEN(A31)-1))</f>
        <v>DeliveryType</v>
      </c>
    </row>
    <row r="32" spans="1:9">
      <c r="A32" t="s">
        <v>49</v>
      </c>
      <c r="B32" t="s">
        <v>2</v>
      </c>
      <c r="C32" t="s">
        <v>35</v>
      </c>
      <c r="D32" t="str">
        <f t="shared" si="8"/>
        <v xml:space="preserve">code:string, </v>
      </c>
      <c r="E32" t="str">
        <f t="shared" si="9"/>
        <v>&lt;th&gt; code &lt;/th&gt;</v>
      </c>
      <c r="F32" t="str">
        <f t="shared" si="10"/>
        <v>&lt;td&gt; {{ $deliveryType-&gt;code }} &lt;/td&gt;</v>
      </c>
      <c r="G32" t="str">
        <f t="shared" ref="G32:G35" si="11">CONCATENATE("$",A32,"-&gt;",B32,"= $erply",UPPER(LEFT(A32,1)),RIGHT(A32,LEN(A32)-1),"['",B32,"'];")</f>
        <v>$deliveryType-&gt;code= $erplyDeliveryType['code'];</v>
      </c>
      <c r="H32" t="s">
        <v>55</v>
      </c>
      <c r="I32" t="str">
        <f>ConcatenateRange(E31:E35,"
")</f>
        <v>&lt;th&gt; deliveryTypeID &lt;/th&gt;_x000D_&lt;th&gt; code &lt;/th&gt;_x000D_&lt;th&gt; name &lt;/th&gt;_x000D_&lt;th&gt; added &lt;/th&gt;_x000D_&lt;th&gt; lastModified &lt;/th&gt;</v>
      </c>
    </row>
    <row r="33" spans="1:9">
      <c r="A33" t="s">
        <v>49</v>
      </c>
      <c r="B33" t="s">
        <v>1</v>
      </c>
      <c r="C33" t="s">
        <v>35</v>
      </c>
      <c r="D33" t="str">
        <f t="shared" si="8"/>
        <v xml:space="preserve">name:string, </v>
      </c>
      <c r="E33" t="str">
        <f t="shared" si="9"/>
        <v>&lt;th&gt; name &lt;/th&gt;</v>
      </c>
      <c r="F33" t="str">
        <f t="shared" si="10"/>
        <v>&lt;td&gt; {{ $deliveryType-&gt;name }} &lt;/td&gt;</v>
      </c>
      <c r="G33" t="str">
        <f t="shared" si="11"/>
        <v>$deliveryType-&gt;name= $erplyDeliveryType['name'];</v>
      </c>
      <c r="H33" t="s">
        <v>56</v>
      </c>
      <c r="I33" t="str">
        <f>ConcatenateRange(F31:F35,"
")</f>
        <v>&lt;td&gt; {{ $deliveryType-&gt;deliveryTypeID }} &lt;/td&gt;_x000D_&lt;td&gt; {{ $deliveryType-&gt;code }} &lt;/td&gt;_x000D_&lt;td&gt; {{ $deliveryType-&gt;name }} &lt;/td&gt;_x000D_&lt;td&gt; {{ $deliveryType-&gt;added }} &lt;/td&gt;_x000D_&lt;td&gt; {{ $deliveryType-&gt;lastModified }} &lt;/td&gt;</v>
      </c>
    </row>
    <row r="34" spans="1:9">
      <c r="A34" t="s">
        <v>49</v>
      </c>
      <c r="B34" t="s">
        <v>18</v>
      </c>
      <c r="C34" t="s">
        <v>33</v>
      </c>
      <c r="D34" t="str">
        <f t="shared" si="8"/>
        <v xml:space="preserve">added:timestamp, </v>
      </c>
      <c r="E34" t="str">
        <f t="shared" si="9"/>
        <v>&lt;th&gt; added &lt;/th&gt;</v>
      </c>
      <c r="F34" t="str">
        <f t="shared" si="10"/>
        <v>&lt;td&gt; {{ $deliveryType-&gt;added }} &lt;/td&gt;</v>
      </c>
      <c r="G34" t="str">
        <f t="shared" si="11"/>
        <v>$deliveryType-&gt;added= $erplyDeliveryType['added'];</v>
      </c>
      <c r="H34" t="s">
        <v>50</v>
      </c>
      <c r="I34" t="str">
        <f>CONCATENATE("@if (count($",A31,"s) === 0)
 &lt;div&gt;There is no record for ",A31,"s, you can sync to get the latest data! &lt;/div&gt;
@else
&lt;div&gt;
 Total {{$",A31,"s-&gt;getTotal()}} records are found. 
 {{$",A31,"s-&gt;count()}} records in this page.
&lt;/div&gt;
{{$",A31,"s-&gt;links()}}
&lt;table class='table table-striped table-bordered table-hover table-condensed'&gt;
 &lt;thead&gt;
  &lt;tr&gt;
    ",I32,"
&lt;/tr&gt;
 &lt;/thead&gt;
 &lt;tbody&gt;
 @foreach($",A31,"s as $",A31," )
     &lt;tr&gt;
          ",I33,"
     &lt;/tr&gt;
 @endforeach
 &lt;/tbody&gt;
&lt;/table&gt;
{{$",A31,"s-&gt;links()}}
 @endif
")</f>
        <v>@if (count($deliveryTypes) === 0)_x000D_ &lt;div&gt;There is no record for deliveryTypes, you can sync to get the latest data! &lt;/div&gt;_x000D_@else_x000D_&lt;div&gt;_x000D_ Total {{$deliveryTypes-&gt;getTotal()}} records are found. _x000D_ {{$deliveryTypes-&gt;count()}} records in this page._x000D__x000D_&lt;/div&gt;_x000D_{{$deliveryTypes-&gt;links()}}_x000D_&lt;table class='table table-striped table-bordered table-hover table-condensed'&gt;_x000D_ &lt;thead&gt;_x000D_  &lt;tr&gt;_x000D_    &lt;th&gt; deliveryTypeID &lt;/th&gt;_x000D_&lt;th&gt; code &lt;/th&gt;_x000D_&lt;th&gt; name &lt;/th&gt;_x000D_&lt;th&gt; added &lt;/th&gt;_x000D_&lt;th&gt; lastModified &lt;/th&gt;_x000D_&lt;/tr&gt;_x000D_ &lt;/thead&gt;_x000D_ &lt;tbody&gt;_x000D_ @foreach($deliveryTypes as $deliveryType )_x000D_     &lt;tr&gt;_x000D_          &lt;td&gt; {{ $deliveryType-&gt;deliveryTypeID }} &lt;/td&gt;_x000D_&lt;td&gt; {{ $deliveryType-&gt;code }} &lt;/td&gt;_x000D_&lt;td&gt; {{ $deliveryType-&gt;name }} &lt;/td&gt;_x000D_&lt;td&gt; {{ $deliveryType-&gt;added }} &lt;/td&gt;_x000D_&lt;td&gt; {{ $deliveryType-&gt;lastModified }} &lt;/td&gt;_x000D_     &lt;/tr&gt;_x000D_ @endforeach_x000D_ &lt;/tbody&gt;_x000D_&lt;/table&gt;_x000D_{{$deliveryTypes-&gt;links()}}_x000D_ @endif_x000D_</v>
      </c>
    </row>
    <row r="35" spans="1:9">
      <c r="A35" t="s">
        <v>49</v>
      </c>
      <c r="B35" t="s">
        <v>16</v>
      </c>
      <c r="C35" t="s">
        <v>33</v>
      </c>
      <c r="D35" t="str">
        <f t="shared" si="8"/>
        <v xml:space="preserve">lastModified:timestamp, </v>
      </c>
      <c r="E35" t="str">
        <f t="shared" si="9"/>
        <v>&lt;th&gt; lastModified &lt;/th&gt;</v>
      </c>
      <c r="F35" t="str">
        <f t="shared" si="10"/>
        <v>&lt;td&gt; {{ $deliveryType-&gt;lastModified }} &lt;/td&gt;</v>
      </c>
      <c r="G35" t="str">
        <f t="shared" si="11"/>
        <v>$deliveryType-&gt;lastModified= $erplyDeliveryType['lastModified'];</v>
      </c>
      <c r="H35" t="s">
        <v>51</v>
      </c>
      <c r="I35" t="str">
        <f>CONCATENATE("$",A31,"s = ",I31,"::paginate(10);
  $this-&gt;layout-&gt;content = View::make('",A31,"s.index',array('",A31,"s'=&gt;$",A31,"s)); ")</f>
        <v xml:space="preserve">$deliveryTypes = DeliveryType::paginate(10);_x000D_  $this-&gt;layout-&gt;content = View::make('deliveryTypes.index',array('deliveryTypes'=&gt;$deliveryTypes)); </v>
      </c>
    </row>
    <row r="36" spans="1:9">
      <c r="H36" t="s">
        <v>57</v>
      </c>
      <c r="I36" t="str">
        <f>ConcatenateRange(G31:G35,"
")</f>
        <v>$deliveryType-&gt;deliveryTypeID= $erplyDeliveryType['deliveryTypeID'];_x000D_$deliveryType-&gt;code= $erplyDeliveryType['code'];_x000D_$deliveryType-&gt;name= $erplyDeliveryType['name'];_x000D_$deliveryType-&gt;added= $erplyDeliveryType['added'];_x000D_$deliveryType-&gt;lastModified= $erplyDeliveryType['lastModified'];</v>
      </c>
    </row>
    <row r="37" spans="1:9">
      <c r="H37" t="s">
        <v>53</v>
      </c>
      <c r="I37" t="str">
        <f>CONCATENATE("public static function sync",I31,"s($option = array()){
 $api = new EAPI();
 $totalPage = 1; // Set default only one page
 for($pageNo=1;$pageNo &lt;= $totalPage;$pageNo++){","
  $result = json_decode(
   $api-&gt;sendRequest(
    'get",I31,"s', 
    array(
    )
   ), 
   true
  );
  $erply",I31,"s = $result['records'];
  if(is_null($erply",I31,"s)){","
   //Start: Add Log for sync error
   ActionLog::Create(array(
    'module' =&gt; '",I31,"',
     'type' =&gt; 'Sync',
     'notes' =&gt; 'Page has error, no record returned', 
     'user' =&gt; 'System'
   ));
   //End: Add Log for sync error
   return false;
  }else{","
   //Start: Add action log for sync success
   ActionLog::Create(array(
    'module' =&gt; '",I31,"',
    'type' =&gt; 'Sync',
    'notes' =&gt; 'Total '.count($erply",I31,"s).' records', ","
    'user' =&gt; 'System'
   ));
   //End:  Add action log for sync success","
   //Save ",I31," information
   foreach ($erply",I31,"s as $erply",I31,") {","
    $",A31," = ",I31,"::where('",A31,"ID', '=', $erply",I31,"['",A31,"ID'])
     -&gt;first();
     if (is_null($",A31,")){
      $",A31," = new ",I31,";
      $",A31,"-&gt;",A31,"ID = $erply",I31,"['",A31,"ID'];
     }
",I36,"
    $",A31,"-&gt;save();","
   }
  }
 }
 return true;
}
")</f>
        <v>public static function syncDeliveryTypes($option = array()){_x000D_ $api = new EAPI();_x000D_ $totalPage = 1; // Set default only one page_x000D_ for($pageNo=1;$pageNo &lt;= $totalPage;$pageNo++){_x000D_  $result = json_decode(_x000D_   $api-&gt;sendRequest(_x000D_    'getDeliveryTypes', _x000D_    array(_x000D_    )_x000D_   ), _x000D_   true_x000D_  );_x000D_  $erplyDeliveryTypes = $result['records'];_x000D_  if(is_null($erplyDeliveryTypes)){_x000D_   //Start: Add Log for sync error_x000D_   ActionLog::Create(array(_x000D_    'module' =&gt; 'DeliveryType',_x000D_     'type' =&gt; 'Sync',_x000D_     'notes' =&gt; 'Page has error, no record returned', _x000D_     'user' =&gt; 'System'_x000D_   ));_x000D_   //End: Add Log for sync error_x000D_   return false;_x000D_  }else{_x000D_   //Start: Add action log for sync success_x000D_   ActionLog::Create(array(_x000D_    'module' =&gt; 'DeliveryType',_x000D_    'type' =&gt; 'Sync',_x000D_    'notes' =&gt; 'Total '.count($erplyDeliveryTypes).' records', _x000D_    'user' =&gt; 'System'_x000D_   ));_x000D_   //End:  Add action log for sync success_x000D__x000D_   //Save DeliveryType information_x000D_   foreach ($erplyDeliveryTypes as $erplyDeliveryType) {_x000D_    $deliveryType = DeliveryType::where('deliveryTypeID', '=', $erplyDeliveryType['deliveryTypeID'])_x000D_     -&gt;first();_x000D_     if (is_null($deliveryType)){_x000D_      $deliveryType = new DeliveryType;_x000D_      $deliveryType-&gt;deliveryTypeID = $erplyDeliveryType['deliveryTypeID'];_x000D_     }_x000D_$deliveryType-&gt;deliveryTypeID= $erplyDeliveryType['deliveryTypeID'];_x000D_$deliveryType-&gt;code= $erplyDeliveryType['code'];_x000D_$deliveryType-&gt;name= $erplyDeliveryType['name'];_x000D_$deliveryType-&gt;added= $erplyDeliveryType['added'];_x000D_$deliveryType-&gt;lastModified= $erplyDeliveryType['lastModified'];_x000D_    $deliveryType-&gt;save();_x000D_   }_x000D_    _x000D_  }_x000D_ }_x000D_ return true;_x000D_}_x000D_</v>
      </c>
    </row>
    <row r="38" spans="1:9">
      <c r="H38" t="s">
        <v>58</v>
      </c>
      <c r="I38" t="str">
        <f>CONCATENATE("/**
  * Syncing ",A31,"s from erply.
  * GET /",A31,"s/sync
  *
  * @return Response
  */
 public function sync()
 {
  if(SyncHelper::sync",I31,"s()){
   return Redirect::to('",A31,"s')-&gt;with('message', 'Sync ",I31," Successfuly!');
  }else{
   return Redirect::to('",A31,"s')-&gt;with('message', 'Sync Error!');
  }
 }")</f>
        <v>/**_x000D_  * Syncing deliveryTypes from erply._x000D_  * GET /deliveryTypes/sync_x000D_  *_x000D_  * @return Response_x000D_  */_x000D_ public function sync()_x000D_ {_x000D_  if(SyncHelper::syncDeliveryTypes()){_x000D_   return Redirect::to('deliveryTypes')-&gt;with('message', 'Sync DeliveryType Successfuly!');_x000D_  }else{_x000D_   return Redirect::to('deliveryTypes')-&gt;with('message', 'Sync Error!');_x000D_  }_x000D_  _x000D_ }</v>
      </c>
    </row>
    <row r="40" spans="1:9">
      <c r="A40" t="s">
        <v>59</v>
      </c>
      <c r="B40" t="s">
        <v>3</v>
      </c>
      <c r="C40" s="2" t="s">
        <v>34</v>
      </c>
      <c r="D40" t="str">
        <f t="shared" si="8"/>
        <v xml:space="preserve">supplierID:integer, </v>
      </c>
      <c r="E40" t="str">
        <f t="shared" ref="E40:E49" si="12">CONCATENATE("&lt;th&gt; ",B40," &lt;/th&gt;")</f>
        <v>&lt;th&gt; supplierID &lt;/th&gt;</v>
      </c>
      <c r="F40" t="str">
        <f t="shared" ref="F40:F49" si="13">CONCATENATE("&lt;td&gt; {{ $",A40,"-&gt;",B40," }} &lt;/td&gt;")</f>
        <v>&lt;td&gt; {{ $supplierSalesDocument-&gt;supplierID }} &lt;/td&gt;</v>
      </c>
      <c r="H40" t="s">
        <v>54</v>
      </c>
      <c r="I40" t="str">
        <f>CONCATENATE(UPPER(LEFT(A40,1))&amp;RIGHT(A40,LEN(A40)-1))</f>
        <v>SupplierSalesDocument</v>
      </c>
    </row>
    <row r="41" spans="1:9">
      <c r="A41" t="s">
        <v>59</v>
      </c>
      <c r="B41" t="s">
        <v>39</v>
      </c>
      <c r="C41" s="2" t="s">
        <v>34</v>
      </c>
      <c r="D41" t="str">
        <f t="shared" si="8"/>
        <v xml:space="preserve">salesDocumentID:integer, </v>
      </c>
      <c r="E41" t="str">
        <f t="shared" si="12"/>
        <v>&lt;th&gt; salesDocumentID &lt;/th&gt;</v>
      </c>
      <c r="F41" t="str">
        <f t="shared" si="13"/>
        <v>&lt;td&gt; {{ $supplierSalesDocument-&gt;salesDocumentID }} &lt;/td&gt;</v>
      </c>
      <c r="H41" t="s">
        <v>55</v>
      </c>
      <c r="I41" t="str">
        <f>ConcatenateRange(E40:E49,"
")</f>
        <v>&lt;th&gt; supplierID &lt;/th&gt;_x000D_&lt;th&gt; salesDocumentID &lt;/th&gt;_x000D_&lt;th&gt; status &lt;/th&gt;_x000D_&lt;th&gt; amount &lt;/th&gt;_x000D_&lt;th&gt; netTotal &lt;/th&gt;_x000D_&lt;th&gt; vatTotal &lt;/th&gt;_x000D_&lt;th&gt; total &lt;/th&gt;_x000D_&lt;th&gt; supplierNotes &lt;/th&gt;_x000D_&lt;th&gt; lastModified &lt;/th&gt;_x000D_&lt;th&gt; lastModifierUsername &lt;/th&gt;</v>
      </c>
    </row>
    <row r="42" spans="1:9">
      <c r="A42" t="s">
        <v>59</v>
      </c>
      <c r="B42" t="s">
        <v>6</v>
      </c>
      <c r="C42" s="2" t="s">
        <v>35</v>
      </c>
      <c r="D42" t="str">
        <f t="shared" si="8"/>
        <v xml:space="preserve">status:string, </v>
      </c>
      <c r="E42" t="str">
        <f t="shared" si="12"/>
        <v>&lt;th&gt; status &lt;/th&gt;</v>
      </c>
      <c r="F42" t="str">
        <f t="shared" si="13"/>
        <v>&lt;td&gt; {{ $supplierSalesDocument-&gt;status }} &lt;/td&gt;</v>
      </c>
      <c r="H42" t="s">
        <v>56</v>
      </c>
      <c r="I42" t="str">
        <f>ConcatenateRange(F40:F49,"
")</f>
        <v>&lt;td&gt; {{ $supplierSalesDocument-&gt;supplierID }} &lt;/td&gt;_x000D_&lt;td&gt; {{ $supplierSalesDocument-&gt;salesDocumentID }} &lt;/td&gt;_x000D_&lt;td&gt; {{ $supplierSalesDocument-&gt;status }} &lt;/td&gt;_x000D_&lt;td&gt; {{ $supplierSalesDocument-&gt;amount }} &lt;/td&gt;_x000D_&lt;td&gt; {{ $supplierSalesDocument-&gt;netTotal }} &lt;/td&gt;_x000D_&lt;td&gt; {{ $supplierSalesDocument-&gt;vatTotal }} &lt;/td&gt;_x000D_&lt;td&gt; {{ $supplierSalesDocument-&gt;total }} &lt;/td&gt;_x000D_&lt;td&gt; {{ $supplierSalesDocument-&gt;supplierNotes }} &lt;/td&gt;_x000D_&lt;td&gt; {{ $supplierSalesDocument-&gt;lastModified }} &lt;/td&gt;_x000D_&lt;td&gt; {{ $supplierSalesDocument-&gt;lastModifierUsername }} &lt;/td&gt;</v>
      </c>
    </row>
    <row r="43" spans="1:9">
      <c r="A43" t="s">
        <v>59</v>
      </c>
      <c r="B43" t="s">
        <v>21</v>
      </c>
      <c r="C43" s="2" t="s">
        <v>61</v>
      </c>
      <c r="D43" t="str">
        <f t="shared" si="8"/>
        <v xml:space="preserve">amount:decimal(10,0), </v>
      </c>
      <c r="E43" t="str">
        <f t="shared" si="12"/>
        <v>&lt;th&gt; amount &lt;/th&gt;</v>
      </c>
      <c r="F43" t="str">
        <f t="shared" si="13"/>
        <v>&lt;td&gt; {{ $supplierSalesDocument-&gt;amount }} &lt;/td&gt;</v>
      </c>
      <c r="H43" t="s">
        <v>50</v>
      </c>
      <c r="I43" t="str">
        <f>CONCATENATE("@if (count($",A40,"s) === 0)
 &lt;div&gt;There is no record for ",A40,"s, you can sync to get the latest data! &lt;/div&gt;
@else
&lt;div&gt;
 Total {{$",A40,"s-&gt;getTotal()}} records are found. 
 {{$",A40,"s-&gt;count()}} records in this page.
&lt;/div&gt;
{{$",A40,"s-&gt;links()}}
&lt;table class='table table-striped table-bordered table-hover table-condensed'&gt;
 &lt;thead&gt;
  &lt;tr&gt;
    ",I41,"
&lt;/tr&gt;
 &lt;/thead&gt;
 &lt;tbody&gt;
 @foreach($",A40,"s as $",A40," )
     &lt;tr&gt;
          ",I42,"
     &lt;/tr&gt;
 @endforeach
 &lt;/tbody&gt;
&lt;/table&gt;
{{$",A40,"s-&gt;links()}}
 @endif
")</f>
        <v>@if (count($supplierSalesDocuments) === 0)_x000D_ &lt;div&gt;There is no record for supplierSalesDocuments, you can sync to get the latest data! &lt;/div&gt;_x000D_@else_x000D_&lt;div&gt;_x000D_ Total {{$supplierSalesDocuments-&gt;getTotal()}} records are found. _x000D_ {{$supplierSalesDocuments-&gt;count()}} records in this page._x000D__x000D_&lt;/div&gt;_x000D_{{$supplierSalesDocuments-&gt;links()}}_x000D_&lt;table class='table table-striped table-bordered table-hover table-condensed'&gt;_x000D_ &lt;thead&gt;_x000D_  &lt;tr&gt;_x000D_    &lt;th&gt; supplierID &lt;/th&gt;_x000D_&lt;th&gt; salesDocumentID &lt;/th&gt;_x000D_&lt;th&gt; status &lt;/th&gt;_x000D_&lt;th&gt; amount &lt;/th&gt;_x000D_&lt;th&gt; netTotal &lt;/th&gt;_x000D_&lt;th&gt; vatTotal &lt;/th&gt;_x000D_&lt;th&gt; total &lt;/th&gt;_x000D_&lt;th&gt; supplierNotes &lt;/th&gt;_x000D_&lt;th&gt; lastModified &lt;/th&gt;_x000D_&lt;th&gt; lastModifierUsername &lt;/th&gt;_x000D_&lt;/tr&gt;_x000D_ &lt;/thead&gt;_x000D_ &lt;tbody&gt;_x000D_ @foreach($supplierSalesDocuments as $supplierSalesDocument )_x000D_     &lt;tr&gt;_x000D_          &lt;td&gt; {{ $supplierSalesDocument-&gt;supplierID }} &lt;/td&gt;_x000D_&lt;td&gt; {{ $supplierSalesDocument-&gt;salesDocumentID }} &lt;/td&gt;_x000D_&lt;td&gt; {{ $supplierSalesDocument-&gt;status }} &lt;/td&gt;_x000D_&lt;td&gt; {{ $supplierSalesDocument-&gt;amount }} &lt;/td&gt;_x000D_&lt;td&gt; {{ $supplierSalesDocument-&gt;netTotal }} &lt;/td&gt;_x000D_&lt;td&gt; {{ $supplierSalesDocument-&gt;vatTotal }} &lt;/td&gt;_x000D_&lt;td&gt; {{ $supplierSalesDocument-&gt;total }} &lt;/td&gt;_x000D_&lt;td&gt; {{ $supplierSalesDocument-&gt;supplierNotes }} &lt;/td&gt;_x000D_&lt;td&gt; {{ $supplierSalesDocument-&gt;lastModified }} &lt;/td&gt;_x000D_&lt;td&gt; {{ $supplierSalesDocument-&gt;lastModifierUsername }} &lt;/td&gt;_x000D_     &lt;/tr&gt;_x000D_ @endforeach_x000D_ &lt;/tbody&gt;_x000D_&lt;/table&gt;_x000D_{{$supplierSalesDocuments-&gt;links()}}_x000D_ @endif_x000D_</v>
      </c>
    </row>
    <row r="44" spans="1:9">
      <c r="A44" t="s">
        <v>59</v>
      </c>
      <c r="B44" t="s">
        <v>10</v>
      </c>
      <c r="C44" s="2" t="s">
        <v>36</v>
      </c>
      <c r="D44" t="str">
        <f t="shared" si="8"/>
        <v xml:space="preserve">netTotal:decimal(10,2), </v>
      </c>
      <c r="E44" t="str">
        <f t="shared" si="12"/>
        <v>&lt;th&gt; netTotal &lt;/th&gt;</v>
      </c>
      <c r="F44" t="str">
        <f t="shared" si="13"/>
        <v>&lt;td&gt; {{ $supplierSalesDocument-&gt;netTotal }} &lt;/td&gt;</v>
      </c>
      <c r="H44" t="s">
        <v>51</v>
      </c>
      <c r="I44" t="str">
        <f>CONCATENATE("$",A40,"s = ",I40,"::paginate(10);
  $this-&gt;layout-&gt;content = View::make('",A40,"s.index',array('",A40,"s'=&gt;$",A40,"s)); ")</f>
        <v xml:space="preserve">$supplierSalesDocuments = SupplierSalesDocument::paginate(10);_x000D_  $this-&gt;layout-&gt;content = View::make('supplierSalesDocuments.index',array('supplierSalesDocuments'=&gt;$supplierSalesDocuments)); </v>
      </c>
    </row>
    <row r="45" spans="1:9">
      <c r="A45" t="s">
        <v>59</v>
      </c>
      <c r="B45" t="s">
        <v>11</v>
      </c>
      <c r="C45" s="2" t="s">
        <v>36</v>
      </c>
      <c r="D45" t="str">
        <f t="shared" si="8"/>
        <v xml:space="preserve">vatTotal:decimal(10,2), </v>
      </c>
      <c r="E45" t="str">
        <f t="shared" si="12"/>
        <v>&lt;th&gt; vatTotal &lt;/th&gt;</v>
      </c>
      <c r="F45" t="str">
        <f t="shared" si="13"/>
        <v>&lt;td&gt; {{ $supplierSalesDocument-&gt;vatTotal }} &lt;/td&gt;</v>
      </c>
      <c r="H45" t="s">
        <v>57</v>
      </c>
      <c r="I45" t="str">
        <f>ConcatenateRange(G40:G44,"
")</f>
        <v/>
      </c>
    </row>
    <row r="46" spans="1:9">
      <c r="A46" t="s">
        <v>59</v>
      </c>
      <c r="B46" t="s">
        <v>13</v>
      </c>
      <c r="C46" s="2" t="s">
        <v>36</v>
      </c>
      <c r="D46" t="str">
        <f t="shared" si="8"/>
        <v xml:space="preserve">total:decimal(10,2), </v>
      </c>
      <c r="E46" t="str">
        <f t="shared" si="12"/>
        <v>&lt;th&gt; total &lt;/th&gt;</v>
      </c>
      <c r="F46" t="str">
        <f t="shared" si="13"/>
        <v>&lt;td&gt; {{ $supplierSalesDocument-&gt;total }} &lt;/td&gt;</v>
      </c>
      <c r="H46" t="s">
        <v>53</v>
      </c>
      <c r="I46" t="str">
        <f>CONCATENATE("public static function sync",I40,"s($option = array()){
 $api = new EAPI();
 $totalPage = 1; // Set default only one page
 for($pageNo=1;$pageNo &lt;= $totalPage;$pageNo++){","
  $result = json_decode(
   $api-&gt;sendRequest(
    'get",I40,"s', 
    array(
    )
   ), 
   true
  );
  $erply",I40,"s = $result['records'];
  if(is_null($erply",I40,"s)){","
   //Start: Add Log for sync error
   ActionLog::Create(array(
    'module' =&gt; '",I40,"',
     'type' =&gt; 'Sync',
     'notes' =&gt; 'Page has error, no record returned', 
     'user' =&gt; 'System'
   ));
   //End: Add Log for sync error
   return false;
  }else{","
   //Start: Add action log for sync success
   ActionLog::Create(array(
    'module' =&gt; '",I40,"',
    'type' =&gt; 'Sync',
    'notes' =&gt; 'Total '.count($erply",I40,"s).' records', ","
    'user' =&gt; 'System'
   ));
   //End:  Add action log for sync success","
   //Save ",I40," information
   foreach ($erply",I40,"s as $erply",I40,") {","
    $",A40," = ",I40,"::where('",A40,"ID', '=', $erply",I40,"['",A40,"ID'])
     -&gt;first();
     if (is_null($",A40,")){
      $",A40," = new ",I40,";
      $",A40,"-&gt;",A40,"ID = $erply",I40,"['",A40,"ID'];
     }
",I45,"
    $",A40,"-&gt;save();","
   }
  }
 }
 return true;
}
")</f>
        <v>public static function syncSupplierSalesDocuments($option = array()){_x000D_ $api = new EAPI();_x000D_ $totalPage = 1; // Set default only one page_x000D_ for($pageNo=1;$pageNo &lt;= $totalPage;$pageNo++){_x000D_  $result = json_decode(_x000D_   $api-&gt;sendRequest(_x000D_    'getSupplierSalesDocuments', _x000D_    array(_x000D_    )_x000D_   ), _x000D_   true_x000D_  );_x000D_  $erplySupplierSalesDocuments = $result['records'];_x000D_  if(is_null($erplySupplierSalesDocuments)){_x000D_   //Start: Add Log for sync error_x000D_   ActionLog::Create(array(_x000D_    'module' =&gt; 'SupplierSalesDocument',_x000D_     'type' =&gt; 'Sync',_x000D_     'notes' =&gt; 'Page has error, no record returned', _x000D_     'user' =&gt; 'System'_x000D_   ));_x000D_   //End: Add Log for sync error_x000D_   return false;_x000D_  }else{_x000D_   //Start: Add action log for sync success_x000D_   ActionLog::Create(array(_x000D_    'module' =&gt; 'SupplierSalesDocument',_x000D_    'type' =&gt; 'Sync',_x000D_    'notes' =&gt; 'Total '.count($erplySupplierSalesDocuments).' records', _x000D_    'user' =&gt; 'System'_x000D_   ));_x000D_   //End:  Add action log for sync success_x000D__x000D_   //Save SupplierSalesDocument information_x000D_   foreach ($erplySupplierSalesDocuments as $erplySupplierSalesDocument) {_x000D_    $supplierSalesDocument = SupplierSalesDocument::where('supplierSalesDocumentID', '=', $erplySupplierSalesDocument['supplierSalesDocumentID'])_x000D_     -&gt;first();_x000D_     if (is_null($supplierSalesDocument)){_x000D_      $supplierSalesDocument = new SupplierSalesDocument;_x000D_      $supplierSalesDocument-&gt;supplierSalesDocumentID = $erplySupplierSalesDocument['supplierSalesDocumentID'];_x000D_     }_x000D__x000D_    $supplierSalesDocument-&gt;save();_x000D_   }_x000D_    _x000D_  }_x000D_ }_x000D_ return true;_x000D_}_x000D_</v>
      </c>
    </row>
    <row r="47" spans="1:9">
      <c r="A47" t="s">
        <v>59</v>
      </c>
      <c r="B47" t="s">
        <v>60</v>
      </c>
      <c r="C47" s="2" t="s">
        <v>7</v>
      </c>
      <c r="D47" t="str">
        <f t="shared" si="8"/>
        <v xml:space="preserve">supplierNotes:text, </v>
      </c>
      <c r="E47" t="str">
        <f t="shared" si="12"/>
        <v>&lt;th&gt; supplierNotes &lt;/th&gt;</v>
      </c>
      <c r="F47" t="str">
        <f t="shared" si="13"/>
        <v>&lt;td&gt; {{ $supplierSalesDocument-&gt;supplierNotes }} &lt;/td&gt;</v>
      </c>
      <c r="H47" t="s">
        <v>58</v>
      </c>
      <c r="I47" t="str">
        <f>CONCATENATE("/**
  * Syncing ",A40,"s from erply.
  * GET /",A40,"s/sync
  *
  * @return Response
  */
 public function sync()
 {
  if(SyncHelper::sync",I40,"s()){
   return Redirect::to('",A40,"s')-&gt;with('message', 'Sync ",I40," Successfuly!');
  }else{
   return Redirect::to('",A40,"s')-&gt;with('message', 'Sync Error!');
  }
 }")</f>
        <v>/**_x000D_  * Syncing supplierSalesDocuments from erply._x000D_  * GET /supplierSalesDocuments/sync_x000D_  *_x000D_  * @return Response_x000D_  */_x000D_ public function sync()_x000D_ {_x000D_  if(SyncHelper::syncSupplierSalesDocuments()){_x000D_   return Redirect::to('supplierSalesDocuments')-&gt;with('message', 'Sync SupplierSalesDocument Successfuly!');_x000D_  }else{_x000D_   return Redirect::to('supplierSalesDocuments')-&gt;with('message', 'Sync Error!');_x000D_  }_x000D_  _x000D_ }</v>
      </c>
    </row>
    <row r="48" spans="1:9">
      <c r="A48" t="s">
        <v>59</v>
      </c>
      <c r="B48" t="s">
        <v>16</v>
      </c>
      <c r="C48" s="2" t="s">
        <v>33</v>
      </c>
      <c r="D48" t="str">
        <f t="shared" si="8"/>
        <v xml:space="preserve">lastModified:timestamp, </v>
      </c>
      <c r="E48" t="str">
        <f t="shared" si="12"/>
        <v>&lt;th&gt; lastModified &lt;/th&gt;</v>
      </c>
      <c r="F48" t="str">
        <f t="shared" si="13"/>
        <v>&lt;td&gt; {{ $supplierSalesDocument-&gt;lastModified }} &lt;/td&gt;</v>
      </c>
    </row>
    <row r="49" spans="1:9">
      <c r="A49" t="s">
        <v>59</v>
      </c>
      <c r="B49" t="s">
        <v>17</v>
      </c>
      <c r="C49" s="2" t="s">
        <v>35</v>
      </c>
      <c r="D49" t="str">
        <f t="shared" si="8"/>
        <v xml:space="preserve">lastModifierUsername:string, </v>
      </c>
      <c r="E49" t="str">
        <f t="shared" si="12"/>
        <v>&lt;th&gt; lastModifierUsername &lt;/th&gt;</v>
      </c>
      <c r="F49" t="str">
        <f t="shared" si="13"/>
        <v>&lt;td&gt; {{ $supplierSalesDocument-&gt;lastModifierUsername }} &lt;/td&gt;</v>
      </c>
    </row>
    <row r="50" spans="1:9">
      <c r="H50" t="s">
        <v>65</v>
      </c>
      <c r="I50" t="s">
        <v>62</v>
      </c>
    </row>
    <row r="51" spans="1:9">
      <c r="A51" t="s">
        <v>62</v>
      </c>
      <c r="B51" t="s">
        <v>1</v>
      </c>
      <c r="C51" s="2" t="s">
        <v>35</v>
      </c>
      <c r="D51" t="str">
        <f t="shared" ref="D51:D54" si="14">CONCATENATE(B51,":",C51,", ")</f>
        <v xml:space="preserve">name:string, </v>
      </c>
      <c r="E51" t="str">
        <f t="shared" ref="E51:E54" si="15">CONCATENATE("&lt;th&gt; ",B51," &lt;/th&gt;")</f>
        <v>&lt;th&gt; name &lt;/th&gt;</v>
      </c>
      <c r="F51" t="str">
        <f t="shared" ref="F51:F54" si="16">CONCATENATE("&lt;td&gt; {{ $",A51,"-&gt;",B51," }} &lt;/td&gt;")</f>
        <v>&lt;td&gt; {{ $property-&gt;name }} &lt;/td&gt;</v>
      </c>
      <c r="H51" t="s">
        <v>54</v>
      </c>
      <c r="I51" t="str">
        <f>CONCATENATE(UPPER(LEFT(A51,1))&amp;RIGHT(A51,LEN(A51)-1))</f>
        <v>Property</v>
      </c>
    </row>
    <row r="52" spans="1:9">
      <c r="A52" t="s">
        <v>62</v>
      </c>
      <c r="B52" t="s">
        <v>66</v>
      </c>
      <c r="C52" s="2" t="s">
        <v>35</v>
      </c>
      <c r="D52" t="str">
        <f t="shared" si="14"/>
        <v xml:space="preserve">key:string, </v>
      </c>
      <c r="E52" t="str">
        <f t="shared" si="15"/>
        <v>&lt;th&gt; key &lt;/th&gt;</v>
      </c>
      <c r="F52" t="str">
        <f t="shared" si="16"/>
        <v>&lt;td&gt; {{ $property-&gt;key }} &lt;/td&gt;</v>
      </c>
      <c r="H52" t="s">
        <v>55</v>
      </c>
      <c r="I52" t="str">
        <f>ConcatenateRange(E51:E54,"
")</f>
        <v>&lt;th&gt; name &lt;/th&gt;_x000D_&lt;th&gt; key &lt;/th&gt;_x000D_&lt;th&gt; value &lt;/th&gt;_x000D_&lt;th&gt; remarks &lt;/th&gt;</v>
      </c>
    </row>
    <row r="53" spans="1:9">
      <c r="A53" t="s">
        <v>62</v>
      </c>
      <c r="B53" t="s">
        <v>67</v>
      </c>
      <c r="C53" s="2" t="s">
        <v>35</v>
      </c>
      <c r="D53" t="str">
        <f t="shared" si="14"/>
        <v xml:space="preserve">value:string, </v>
      </c>
      <c r="E53" t="str">
        <f t="shared" si="15"/>
        <v>&lt;th&gt; value &lt;/th&gt;</v>
      </c>
      <c r="F53" t="str">
        <f t="shared" si="16"/>
        <v>&lt;td&gt; {{ $property-&gt;value }} &lt;/td&gt;</v>
      </c>
      <c r="H53" t="s">
        <v>56</v>
      </c>
      <c r="I53" t="str">
        <f>ConcatenateRange(F51:F54,"
")</f>
        <v>&lt;td&gt; {{ $property-&gt;name }} &lt;/td&gt;_x000D_&lt;td&gt; {{ $property-&gt;key }} &lt;/td&gt;_x000D_&lt;td&gt; {{ $property-&gt;value }} &lt;/td&gt;_x000D_&lt;td&gt; {{ $property-&gt;remarks }} &lt;/td&gt;</v>
      </c>
    </row>
    <row r="54" spans="1:9">
      <c r="A54" t="s">
        <v>62</v>
      </c>
      <c r="B54" t="s">
        <v>63</v>
      </c>
      <c r="C54" s="2" t="s">
        <v>35</v>
      </c>
      <c r="D54" t="str">
        <f>CONCATENATE(B54,":",C54,", ")</f>
        <v xml:space="preserve">remarks:string, </v>
      </c>
      <c r="E54" t="str">
        <f t="shared" si="15"/>
        <v>&lt;th&gt; remarks &lt;/th&gt;</v>
      </c>
      <c r="F54" t="str">
        <f t="shared" si="16"/>
        <v>&lt;td&gt; {{ $property-&gt;remarks }} &lt;/td&gt;</v>
      </c>
      <c r="H54" t="s">
        <v>50</v>
      </c>
      <c r="I54" t="str">
        <f>CONCATENATE("@if (count($",A51,"s) === 0)
 &lt;div&gt;There is no record for ",A51,"s, you can sync to get the latest data! &lt;/div&gt;
@else
&lt;div&gt;
 Total {{$",A51,"s-&gt;getTotal()}} records are found. 
 {{$",A51,"s-&gt;count()}} records in this page.
&lt;/div&gt;
{{$",A51,"s-&gt;links()}}
&lt;table class='table table-striped table-bordered table-hover table-condensed'&gt;
 &lt;thead&gt;
  &lt;tr&gt;
    ",I52,"
&lt;/tr&gt;
 &lt;/thead&gt;
 &lt;tbody&gt;
 @foreach($",A51,"s as $",A51," )
     &lt;tr&gt;
          ",I53,"
     &lt;/tr&gt;
 @endforeach
 &lt;/tbody&gt;
&lt;/table&gt;
{{$",A51,"s-&gt;links()}}
 @endif
")</f>
        <v>@if (count($propertys) === 0)_x000D_ &lt;div&gt;There is no record for propertys, you can sync to get the latest data! &lt;/div&gt;_x000D_@else_x000D_&lt;div&gt;_x000D_ Total {{$propertys-&gt;getTotal()}} records are found. _x000D_ {{$propertys-&gt;count()}} records in this page._x000D__x000D_&lt;/div&gt;_x000D_{{$propertys-&gt;links()}}_x000D_&lt;table class='table table-striped table-bordered table-hover table-condensed'&gt;_x000D_ &lt;thead&gt;_x000D_  &lt;tr&gt;_x000D_    &lt;th&gt; name &lt;/th&gt;_x000D_&lt;th&gt; key &lt;/th&gt;_x000D_&lt;th&gt; value &lt;/th&gt;_x000D_&lt;th&gt; remarks &lt;/th&gt;_x000D_&lt;/tr&gt;_x000D_ &lt;/thead&gt;_x000D_ &lt;tbody&gt;_x000D_ @foreach($propertys as $property )_x000D_     &lt;tr&gt;_x000D_          &lt;td&gt; {{ $property-&gt;name }} &lt;/td&gt;_x000D_&lt;td&gt; {{ $property-&gt;key }} &lt;/td&gt;_x000D_&lt;td&gt; {{ $property-&gt;value }} &lt;/td&gt;_x000D_&lt;td&gt; {{ $property-&gt;remarks }} &lt;/td&gt;_x000D_     &lt;/tr&gt;_x000D_ @endforeach_x000D_ &lt;/tbody&gt;_x000D_&lt;/table&gt;_x000D_{{$propertys-&gt;links()}}_x000D_ @endif_x000D_</v>
      </c>
    </row>
    <row r="55" spans="1:9">
      <c r="H55" t="s">
        <v>51</v>
      </c>
      <c r="I55" t="str">
        <f>CONCATENATE("$",A51,"s = ",I51,"::paginate(10);
  $this-&gt;layout-&gt;content = View::make('",A51,"s.index',array('",A51,"s'=&gt;$",A51,"s)); ")</f>
        <v xml:space="preserve">$propertys = Property::paginate(10);_x000D_  $this-&gt;layout-&gt;content = View::make('propertys.index',array('propertys'=&gt;$propertys)); </v>
      </c>
    </row>
    <row r="56" spans="1:9">
      <c r="H56" t="s">
        <v>64</v>
      </c>
      <c r="I56" t="str">
        <f>CONCATENATE("php artisan generate:resource ",I50," --fields=","""",ConcatenateRange(D51:D54),"""","")</f>
        <v>php artisan generate:resource property --fields="name:string, key:string, value:string, remarks:string, "</v>
      </c>
    </row>
    <row r="58" spans="1:9">
      <c r="A58" t="s">
        <v>68</v>
      </c>
      <c r="B58" t="s">
        <v>69</v>
      </c>
      <c r="C58" t="s">
        <v>35</v>
      </c>
      <c r="D58" t="str">
        <f t="shared" ref="D55:D69" si="17">CONCATENATE(B58,":",C58,", ")</f>
        <v xml:space="preserve">ToUserName:string, </v>
      </c>
      <c r="E58" t="str">
        <f t="shared" ref="E55:E69" si="18">CONCATENATE("&lt;th&gt; ",B58," &lt;/th&gt;")</f>
        <v>&lt;th&gt; ToUserName &lt;/th&gt;</v>
      </c>
      <c r="F58" t="str">
        <f t="shared" ref="F55:F69" si="19">CONCATENATE("&lt;td&gt; {{ $",A58,"-&gt;",B58," }} &lt;/td&gt;")</f>
        <v>&lt;td&gt; {{ $wxMessage-&gt;ToUserName }} &lt;/td&gt;</v>
      </c>
      <c r="H58" t="s">
        <v>65</v>
      </c>
      <c r="I58" t="s">
        <v>81</v>
      </c>
    </row>
    <row r="59" spans="1:9">
      <c r="A59" t="s">
        <v>68</v>
      </c>
      <c r="B59" t="s">
        <v>70</v>
      </c>
      <c r="C59" t="s">
        <v>35</v>
      </c>
      <c r="D59" t="str">
        <f t="shared" si="17"/>
        <v xml:space="preserve">FromUserName:string, </v>
      </c>
      <c r="E59" t="str">
        <f t="shared" si="18"/>
        <v>&lt;th&gt; FromUserName &lt;/th&gt;</v>
      </c>
      <c r="F59" t="str">
        <f t="shared" si="19"/>
        <v>&lt;td&gt; {{ $wxMessage-&gt;FromUserName }} &lt;/td&gt;</v>
      </c>
      <c r="H59" t="s">
        <v>54</v>
      </c>
      <c r="I59" t="str">
        <f>CONCATENATE(UPPER(LEFT(A59,1))&amp;RIGHT(A59,LEN(A59)-1))</f>
        <v>WxMessage</v>
      </c>
    </row>
    <row r="60" spans="1:9">
      <c r="A60" t="s">
        <v>68</v>
      </c>
      <c r="B60" t="s">
        <v>71</v>
      </c>
      <c r="C60" s="2" t="s">
        <v>34</v>
      </c>
      <c r="D60" t="str">
        <f t="shared" si="17"/>
        <v xml:space="preserve">CreateTime:integer, </v>
      </c>
      <c r="E60" t="str">
        <f t="shared" si="18"/>
        <v>&lt;th&gt; CreateTime &lt;/th&gt;</v>
      </c>
      <c r="F60" t="str">
        <f t="shared" si="19"/>
        <v>&lt;td&gt; {{ $wxMessage-&gt;CreateTime }} &lt;/td&gt;</v>
      </c>
      <c r="H60" t="s">
        <v>55</v>
      </c>
      <c r="I60" t="str">
        <f>ConcatenateRange(E58:E69,"
")</f>
        <v>&lt;th&gt; ToUserName &lt;/th&gt;_x000D_&lt;th&gt; FromUserName &lt;/th&gt;_x000D_&lt;th&gt; CreateTime &lt;/th&gt;_x000D_&lt;th&gt; MsgType &lt;/th&gt;_x000D_&lt;th&gt; Content &lt;/th&gt;_x000D_&lt;th&gt; MsgId &lt;/th&gt;_x000D_&lt;th&gt; PicUrl &lt;/th&gt;_x000D_&lt;th&gt; MediaId &lt;/th&gt;_x000D_&lt;th&gt; ThumbMediaId &lt;/th&gt;_x000D_&lt;th&gt; Url &lt;/th&gt;_x000D_&lt;th&gt; Title &lt;/th&gt;_x000D_&lt;th&gt; Description &lt;/th&gt;</v>
      </c>
    </row>
    <row r="61" spans="1:9">
      <c r="A61" t="s">
        <v>68</v>
      </c>
      <c r="B61" t="s">
        <v>72</v>
      </c>
      <c r="C61" t="s">
        <v>35</v>
      </c>
      <c r="D61" t="str">
        <f t="shared" si="17"/>
        <v xml:space="preserve">MsgType:string, </v>
      </c>
      <c r="E61" t="str">
        <f t="shared" si="18"/>
        <v>&lt;th&gt; MsgType &lt;/th&gt;</v>
      </c>
      <c r="F61" t="str">
        <f t="shared" si="19"/>
        <v>&lt;td&gt; {{ $wxMessage-&gt;MsgType }} &lt;/td&gt;</v>
      </c>
      <c r="H61" t="s">
        <v>56</v>
      </c>
      <c r="I61" t="str">
        <f>ConcatenateRange(F58:F69,"
")</f>
        <v>&lt;td&gt; {{ $wxMessage-&gt;ToUserName }} &lt;/td&gt;_x000D_&lt;td&gt; {{ $wxMessage-&gt;FromUserName }} &lt;/td&gt;_x000D_&lt;td&gt; {{ $wxMessage-&gt;CreateTime }} &lt;/td&gt;_x000D_&lt;td&gt; {{ $wxMessage-&gt;MsgType }} &lt;/td&gt;_x000D_&lt;td&gt; {{ $wxMessage-&gt;Content }} &lt;/td&gt;_x000D_&lt;td&gt; {{ $wxMessage-&gt;MsgId }} &lt;/td&gt;_x000D_&lt;td&gt; {{ $wxMessage-&gt;PicUrl }} &lt;/td&gt;_x000D_&lt;td&gt; {{ $wxMessage-&gt;MediaId }} &lt;/td&gt;_x000D_&lt;td&gt; {{ $wxMessage-&gt;ThumbMediaId }} &lt;/td&gt;_x000D_&lt;td&gt; {{ $wxMessage-&gt;Url }} &lt;/td&gt;_x000D_&lt;td&gt; {{ $wxMessage-&gt;Title }} &lt;/td&gt;_x000D_&lt;td&gt; {{ $wxMessage-&gt;Description }} &lt;/td&gt;</v>
      </c>
    </row>
    <row r="62" spans="1:9">
      <c r="A62" t="s">
        <v>68</v>
      </c>
      <c r="B62" t="s">
        <v>73</v>
      </c>
      <c r="C62" t="s">
        <v>7</v>
      </c>
      <c r="D62" t="str">
        <f t="shared" si="17"/>
        <v xml:space="preserve">Content:text, </v>
      </c>
      <c r="E62" t="str">
        <f t="shared" si="18"/>
        <v>&lt;th&gt; Content &lt;/th&gt;</v>
      </c>
      <c r="F62" t="str">
        <f t="shared" si="19"/>
        <v>&lt;td&gt; {{ $wxMessage-&gt;Content }} &lt;/td&gt;</v>
      </c>
      <c r="H62" t="s">
        <v>50</v>
      </c>
      <c r="I62" t="str">
        <f>CONCATENATE("@if (count($",A59,"s) === 0)
 &lt;div&gt;There is no record for ",A59,"s, you can sync to get the latest data! &lt;/div&gt;
@else
&lt;div&gt;
 Total {{$",A59,"s-&gt;getTotal()}} records are found. 
 {{$",A59,"s-&gt;count()}} records in this page.
&lt;/div&gt;
{{$",A59,"s-&gt;links()}}
&lt;table class='table table-striped table-bordered table-hover table-condensed'&gt;
 &lt;thead&gt;
  &lt;tr&gt;
    ",I60,"
&lt;/tr&gt;
 &lt;/thead&gt;
 &lt;tbody&gt;
 @foreach($",A59,"s as $",A59," )
     &lt;tr&gt;
          ",I61,"
     &lt;/tr&gt;
 @endforeach
 &lt;/tbody&gt;
&lt;/table&gt;
{{$",A59,"s-&gt;links()}}
 @endif
")</f>
        <v>@if (count($wxMessages) === 0)_x000D_ &lt;div&gt;There is no record for wxMessages, you can sync to get the latest data! &lt;/div&gt;_x000D_@else_x000D_&lt;div&gt;_x000D_ Total {{$wxMessages-&gt;getTotal()}} records are found. _x000D_ {{$wxMessages-&gt;count()}} records in this page._x000D__x000D_&lt;/div&gt;_x000D_{{$wxMessages-&gt;links()}}_x000D_&lt;table class='table table-striped table-bordered table-hover table-condensed'&gt;_x000D_ &lt;thead&gt;_x000D_  &lt;tr&gt;_x000D_    &lt;th&gt; ToUserName &lt;/th&gt;_x000D_&lt;th&gt; FromUserName &lt;/th&gt;_x000D_&lt;th&gt; CreateTime &lt;/th&gt;_x000D_&lt;th&gt; MsgType &lt;/th&gt;_x000D_&lt;th&gt; Content &lt;/th&gt;_x000D_&lt;th&gt; MsgId &lt;/th&gt;_x000D_&lt;th&gt; PicUrl &lt;/th&gt;_x000D_&lt;th&gt; MediaId &lt;/th&gt;_x000D_&lt;th&gt; ThumbMediaId &lt;/th&gt;_x000D_&lt;th&gt; Url &lt;/th&gt;_x000D_&lt;th&gt; Title &lt;/th&gt;_x000D_&lt;th&gt; Description &lt;/th&gt;_x000D_&lt;/tr&gt;_x000D_ &lt;/thead&gt;_x000D_ &lt;tbody&gt;_x000D_ @foreach($wxMessages as $wxMessage )_x000D_     &lt;tr&gt;_x000D_          &lt;td&gt; {{ $wxMessage-&gt;ToUserName }} &lt;/td&gt;_x000D_&lt;td&gt; {{ $wxMessage-&gt;FromUserName }} &lt;/td&gt;_x000D_&lt;td&gt; {{ $wxMessage-&gt;CreateTime }} &lt;/td&gt;_x000D_&lt;td&gt; {{ $wxMessage-&gt;MsgType }} &lt;/td&gt;_x000D_&lt;td&gt; {{ $wxMessage-&gt;Content }} &lt;/td&gt;_x000D_&lt;td&gt; {{ $wxMessage-&gt;MsgId }} &lt;/td&gt;_x000D_&lt;td&gt; {{ $wxMessage-&gt;PicUrl }} &lt;/td&gt;_x000D_&lt;td&gt; {{ $wxMessage-&gt;MediaId }} &lt;/td&gt;_x000D_&lt;td&gt; {{ $wxMessage-&gt;ThumbMediaId }} &lt;/td&gt;_x000D_&lt;td&gt; {{ $wxMessage-&gt;Url }} &lt;/td&gt;_x000D_&lt;td&gt; {{ $wxMessage-&gt;Title }} &lt;/td&gt;_x000D_&lt;td&gt; {{ $wxMessage-&gt;Description }} &lt;/td&gt;_x000D_     &lt;/tr&gt;_x000D_ @endforeach_x000D_ &lt;/tbody&gt;_x000D_&lt;/table&gt;_x000D_{{$wxMessages-&gt;links()}}_x000D_ @endif_x000D_</v>
      </c>
    </row>
    <row r="63" spans="1:9">
      <c r="A63" t="s">
        <v>68</v>
      </c>
      <c r="B63" t="s">
        <v>74</v>
      </c>
      <c r="C63" s="2" t="s">
        <v>34</v>
      </c>
      <c r="D63" t="str">
        <f t="shared" si="17"/>
        <v xml:space="preserve">MsgId:integer, </v>
      </c>
      <c r="E63" t="str">
        <f t="shared" si="18"/>
        <v>&lt;th&gt; MsgId &lt;/th&gt;</v>
      </c>
      <c r="F63" t="str">
        <f t="shared" si="19"/>
        <v>&lt;td&gt; {{ $wxMessage-&gt;MsgId }} &lt;/td&gt;</v>
      </c>
      <c r="H63" t="s">
        <v>51</v>
      </c>
      <c r="I63" t="str">
        <f>CONCATENATE("$",A59,"s = ",I59,"::paginate(10);
  $this-&gt;layout-&gt;content = View::make('",A59,"s.index',array('",A59,"s'=&gt;$",A59,"s)); ")</f>
        <v xml:space="preserve">$wxMessages = WxMessage::paginate(10);_x000D_  $this-&gt;layout-&gt;content = View::make('wxMessages.index',array('wxMessages'=&gt;$wxMessages)); </v>
      </c>
    </row>
    <row r="64" spans="1:9" ht="18">
      <c r="A64" t="s">
        <v>68</v>
      </c>
      <c r="B64" s="3" t="s">
        <v>75</v>
      </c>
      <c r="C64" t="s">
        <v>35</v>
      </c>
      <c r="D64" t="str">
        <f t="shared" si="17"/>
        <v xml:space="preserve">PicUrl:string, </v>
      </c>
      <c r="E64" t="str">
        <f t="shared" si="18"/>
        <v>&lt;th&gt; PicUrl &lt;/th&gt;</v>
      </c>
      <c r="F64" t="str">
        <f t="shared" si="19"/>
        <v>&lt;td&gt; {{ $wxMessage-&gt;PicUrl }} &lt;/td&gt;</v>
      </c>
      <c r="H64" t="s">
        <v>64</v>
      </c>
      <c r="I64" t="str">
        <f>CONCATENATE("php artisan generate:resource ",I58," --fields=","""",ConcatenateRange(D58:D69),"""","")</f>
        <v>php artisan generate:resource wx_message --fields="ToUserName:string, FromUserName:string, CreateTime:integer, MsgType:string, Content:text, MsgId:integer, PicUrl:string, MediaId:integer, ThumbMediaId:integer, Url:string, Title:string, Description:string, "</v>
      </c>
    </row>
    <row r="65" spans="1:6">
      <c r="A65" t="s">
        <v>68</v>
      </c>
      <c r="B65" t="s">
        <v>76</v>
      </c>
      <c r="C65" t="s">
        <v>34</v>
      </c>
      <c r="D65" t="str">
        <f t="shared" si="17"/>
        <v xml:space="preserve">MediaId:integer, </v>
      </c>
      <c r="E65" t="str">
        <f t="shared" si="18"/>
        <v>&lt;th&gt; MediaId &lt;/th&gt;</v>
      </c>
      <c r="F65" t="str">
        <f t="shared" si="19"/>
        <v>&lt;td&gt; {{ $wxMessage-&gt;MediaId }} &lt;/td&gt;</v>
      </c>
    </row>
    <row r="66" spans="1:6" ht="18">
      <c r="A66" t="s">
        <v>68</v>
      </c>
      <c r="B66" s="3" t="s">
        <v>77</v>
      </c>
      <c r="C66" s="2" t="s">
        <v>34</v>
      </c>
      <c r="D66" t="str">
        <f t="shared" si="17"/>
        <v xml:space="preserve">ThumbMediaId:integer, </v>
      </c>
      <c r="E66" t="str">
        <f t="shared" si="18"/>
        <v>&lt;th&gt; ThumbMediaId &lt;/th&gt;</v>
      </c>
      <c r="F66" t="str">
        <f t="shared" si="19"/>
        <v>&lt;td&gt; {{ $wxMessage-&gt;ThumbMediaId }} &lt;/td&gt;</v>
      </c>
    </row>
    <row r="67" spans="1:6">
      <c r="A67" t="s">
        <v>68</v>
      </c>
      <c r="B67" t="s">
        <v>78</v>
      </c>
      <c r="C67" t="s">
        <v>35</v>
      </c>
      <c r="D67" t="str">
        <f t="shared" si="17"/>
        <v xml:space="preserve">Url:string, </v>
      </c>
      <c r="E67" t="str">
        <f t="shared" si="18"/>
        <v>&lt;th&gt; Url &lt;/th&gt;</v>
      </c>
      <c r="F67" t="str">
        <f t="shared" si="19"/>
        <v>&lt;td&gt; {{ $wxMessage-&gt;Url }} &lt;/td&gt;</v>
      </c>
    </row>
    <row r="68" spans="1:6">
      <c r="A68" t="s">
        <v>68</v>
      </c>
      <c r="B68" t="s">
        <v>79</v>
      </c>
      <c r="C68" t="s">
        <v>35</v>
      </c>
      <c r="D68" t="str">
        <f t="shared" si="17"/>
        <v xml:space="preserve">Title:string, </v>
      </c>
      <c r="E68" t="str">
        <f t="shared" si="18"/>
        <v>&lt;th&gt; Title &lt;/th&gt;</v>
      </c>
      <c r="F68" t="str">
        <f t="shared" si="19"/>
        <v>&lt;td&gt; {{ $wxMessage-&gt;Title }} &lt;/td&gt;</v>
      </c>
    </row>
    <row r="69" spans="1:6" ht="18">
      <c r="A69" t="s">
        <v>68</v>
      </c>
      <c r="B69" s="3" t="s">
        <v>80</v>
      </c>
      <c r="C69" t="s">
        <v>35</v>
      </c>
      <c r="D69" t="str">
        <f t="shared" si="17"/>
        <v xml:space="preserve">Description:string, </v>
      </c>
      <c r="E69" t="str">
        <f t="shared" si="18"/>
        <v>&lt;th&gt; Description &lt;/th&gt;</v>
      </c>
      <c r="F69" t="str">
        <f t="shared" si="19"/>
        <v>&lt;td&gt; {{ $wxMessage-&gt;Description }} &lt;/td&gt;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Sun</dc:creator>
  <cp:lastModifiedBy>Bob Sun</cp:lastModifiedBy>
  <dcterms:created xsi:type="dcterms:W3CDTF">2015-01-27T10:35:05Z</dcterms:created>
  <dcterms:modified xsi:type="dcterms:W3CDTF">2015-03-09T07:39:00Z</dcterms:modified>
</cp:coreProperties>
</file>